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722c8de6614474/Desktop/beam-design-app/data/"/>
    </mc:Choice>
  </mc:AlternateContent>
  <xr:revisionPtr revIDLastSave="0" documentId="8_{207D96B9-D7FD-43AC-AE5D-97C4F9B46D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puts" sheetId="1" r:id="rId1"/>
    <sheet name="Results" sheetId="2" r:id="rId2"/>
    <sheet name="data of she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Macx3KbVffaVCjFM1akAU2xWYiAkp4v9hYOw0NH2aE="/>
    </ext>
  </extLst>
</workbook>
</file>

<file path=xl/calcChain.xml><?xml version="1.0" encoding="utf-8"?>
<calcChain xmlns="http://schemas.openxmlformats.org/spreadsheetml/2006/main">
  <c r="C19" i="2" l="1"/>
  <c r="C20" i="2" s="1"/>
  <c r="C12" i="2"/>
  <c r="C5" i="2"/>
  <c r="C18" i="1"/>
  <c r="C6" i="1" s="1"/>
  <c r="C4" i="2" s="1"/>
  <c r="C17" i="1"/>
  <c r="C13" i="1"/>
  <c r="C2" i="2" l="1"/>
  <c r="C5" i="1"/>
  <c r="C3" i="2" s="1"/>
  <c r="C9" i="2" l="1"/>
  <c r="C10" i="2"/>
  <c r="C16" i="2"/>
  <c r="C21" i="2" l="1"/>
  <c r="C22" i="2" s="1"/>
  <c r="C18" i="2"/>
  <c r="C11" i="2"/>
  <c r="C13" i="2" s="1"/>
  <c r="C14" i="2" s="1"/>
  <c r="C15" i="2" s="1"/>
  <c r="C6" i="2"/>
  <c r="C7" i="2"/>
  <c r="C8" i="2"/>
</calcChain>
</file>

<file path=xl/sharedStrings.xml><?xml version="1.0" encoding="utf-8"?>
<sst xmlns="http://schemas.openxmlformats.org/spreadsheetml/2006/main" count="121" uniqueCount="98">
  <si>
    <t>Parameter</t>
  </si>
  <si>
    <t>Cell</t>
  </si>
  <si>
    <t>Value / Example</t>
  </si>
  <si>
    <t>Units</t>
  </si>
  <si>
    <t>Notes</t>
  </si>
  <si>
    <t>Width of beam</t>
  </si>
  <si>
    <t>B2</t>
  </si>
  <si>
    <t>mm</t>
  </si>
  <si>
    <t>Overall depth (D)</t>
  </si>
  <si>
    <t>B3</t>
  </si>
  <si>
    <t>Effective cover / clear cover (d')</t>
  </si>
  <si>
    <t>B4</t>
  </si>
  <si>
    <t>You may include bar dia half in effective depth separately</t>
  </si>
  <si>
    <t>Factored bending moment (Mu)</t>
  </si>
  <si>
    <t>B5</t>
  </si>
  <si>
    <t>kN·m</t>
  </si>
  <si>
    <t>Positive sagging, factored</t>
  </si>
  <si>
    <t>Factored shear force (Vu)</t>
  </si>
  <si>
    <t>B6</t>
  </si>
  <si>
    <t>kN</t>
  </si>
  <si>
    <t>Grade of concrete (fck)</t>
  </si>
  <si>
    <t>B7</t>
  </si>
  <si>
    <t>MPa</t>
  </si>
  <si>
    <t>Grade of steel (fy)</t>
  </si>
  <si>
    <t>B8</t>
  </si>
  <si>
    <t>Diameter used for flexural bars (phi)</t>
  </si>
  <si>
    <t>B9</t>
  </si>
  <si>
    <t>Typical bar diam</t>
  </si>
  <si>
    <t>Diameter for stirrup legs (φv)</t>
  </si>
  <si>
    <t>B10</t>
  </si>
  <si>
    <t>Typical stirrup dia</t>
  </si>
  <si>
    <t>Number of legs of stirrup</t>
  </si>
  <si>
    <t>B11</t>
  </si>
  <si>
    <t>2-legged stirrups assumed</t>
  </si>
  <si>
    <t>Assumed z factor (use 0.9 for approximation)</t>
  </si>
  <si>
    <t>B12</t>
  </si>
  <si>
    <t>z = k * d (approx 0.9d)</t>
  </si>
  <si>
    <t>yield stress fro stirrups reinforcement</t>
  </si>
  <si>
    <t>B13</t>
  </si>
  <si>
    <t>N/mm^2</t>
  </si>
  <si>
    <t>Dead load on beam</t>
  </si>
  <si>
    <t>DL</t>
  </si>
  <si>
    <t>kN/m</t>
  </si>
  <si>
    <t>Superimposed DL</t>
  </si>
  <si>
    <t>Live load on beam</t>
  </si>
  <si>
    <t>LL</t>
  </si>
  <si>
    <t>Superimposed LL</t>
  </si>
  <si>
    <t>Span</t>
  </si>
  <si>
    <t>L</t>
  </si>
  <si>
    <t>m</t>
  </si>
  <si>
    <t>Beam span</t>
  </si>
  <si>
    <t>Self weight</t>
  </si>
  <si>
    <t>SW</t>
  </si>
  <si>
    <t>self weight</t>
  </si>
  <si>
    <t>Factored Load</t>
  </si>
  <si>
    <t>WF</t>
  </si>
  <si>
    <t>KN/m</t>
  </si>
  <si>
    <t>total load</t>
  </si>
  <si>
    <t>Result</t>
  </si>
  <si>
    <t>Formula / Value (Excel formula shown where applicable)</t>
  </si>
  <si>
    <t>Effective depth d</t>
  </si>
  <si>
    <t>d = D - cover (simplified)</t>
  </si>
  <si>
    <t>Mu (N·mm)</t>
  </si>
  <si>
    <t>N·mm</t>
  </si>
  <si>
    <t>Convert kN·m to N·mm</t>
  </si>
  <si>
    <t>Vu (N)</t>
  </si>
  <si>
    <t>N</t>
  </si>
  <si>
    <t>Approx. lever arm z</t>
  </si>
  <si>
    <t>z = z_factor * d ; z_factor default 0.10</t>
  </si>
  <si>
    <t>Limiting R (for Fe415 use 0.138, Fe500 use 0.149)</t>
  </si>
  <si>
    <t>Use appropriate Rlim for steel grade</t>
  </si>
  <si>
    <t>Mu_lim (Rlim * fck * b * d^2)</t>
  </si>
  <si>
    <t>Compare Mu &lt;= Mu_lim</t>
  </si>
  <si>
    <t>Check Mu &lt;= Mu_lim ?</t>
  </si>
  <si>
    <t>Required Ast (approx, using z approximation)</t>
  </si>
  <si>
    <t>mm^2</t>
  </si>
  <si>
    <t>Ast = Mu/(0.87*fy*z)</t>
  </si>
  <si>
    <t>Minimum Ast (Ast_min = 0.85*b*d/fy)</t>
  </si>
  <si>
    <t>Use Ast = MAX(Required, Min)</t>
  </si>
  <si>
    <t>Area of one bar (π/4*phi^2)</t>
  </si>
  <si>
    <t>phi in mm -&gt; convert to m for area if needed (note units)</t>
  </si>
  <si>
    <t>No. of bars (rounded up)</t>
  </si>
  <si>
    <t>nos</t>
  </si>
  <si>
    <t>Provided Ast (based on chosen bars)</t>
  </si>
  <si>
    <t>% tension steel p</t>
  </si>
  <si>
    <t>%</t>
  </si>
  <si>
    <t>Nominal shear stress tau_v</t>
  </si>
  <si>
    <t>Vu/(b*d)</t>
  </si>
  <si>
    <t>Enter allowable shear stress tc (from IS456 Table 19) here</t>
  </si>
  <si>
    <t>check from table</t>
  </si>
  <si>
    <t>Shear check (tau_v &lt;= tc ?)</t>
  </si>
  <si>
    <t>Stirrup single leg area (mm^2)</t>
  </si>
  <si>
    <t>Total stirrup area (Astv) for legs (2 legs by default)</t>
  </si>
  <si>
    <t>Required spacing Sv (if shear reinforcement needed)</t>
  </si>
  <si>
    <t>Assumes fyv = 250 MPa for stirrups</t>
  </si>
  <si>
    <t>Recommended max spacing (min(b/2, 0.75d))</t>
  </si>
  <si>
    <t>% steel (p)</t>
  </si>
  <si>
    <t>τc (N/mm²)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</si>
</sst>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sz val="11"/>
      <color rgb="FF1F1F1F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0F4F9"/>
      </left>
      <right style="thin">
        <color rgb="FFF0F4F9"/>
      </right>
      <top style="thin">
        <color rgb="FFF0F4F9"/>
      </top>
      <bottom style="thin">
        <color rgb="FFF0F4F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4" fontId="3" fillId="2" borderId="14" xfId="0" applyNumberFormat="1" applyFont="1" applyFill="1" applyBorder="1" applyAlignment="1">
      <alignment vertical="center"/>
    </xf>
    <xf numFmtId="4" fontId="4" fillId="3" borderId="5" xfId="0" applyNumberFormat="1" applyFont="1" applyFill="1" applyBorder="1" applyAlignment="1">
      <alignment vertical="center"/>
    </xf>
    <xf numFmtId="0" fontId="1" fillId="0" borderId="15" xfId="0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5" fillId="0" borderId="0" xfId="0" applyFont="1"/>
    <xf numFmtId="0" fontId="1" fillId="0" borderId="17" xfId="0" applyFont="1" applyBorder="1" applyAlignment="1">
      <alignment vertical="center"/>
    </xf>
    <xf numFmtId="4" fontId="1" fillId="0" borderId="11" xfId="0" applyNumberFormat="1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Inputs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Results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data of shear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8">
  <tableColumns count="5">
    <tableColumn id="1" xr3:uid="{00000000-0010-0000-0000-000001000000}" name="Parameter"/>
    <tableColumn id="2" xr3:uid="{00000000-0010-0000-0000-000002000000}" name="Cell"/>
    <tableColumn id="3" xr3:uid="{00000000-0010-0000-0000-000003000000}" name="Value / Example"/>
    <tableColumn id="4" xr3:uid="{00000000-0010-0000-0000-000004000000}" name="Units"/>
    <tableColumn id="5" xr3:uid="{00000000-0010-0000-0000-000005000000}" name="Notes"/>
  </tableColumns>
  <tableStyleInfo name="Inpu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2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Resul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10">
  <tableColumns count="2">
    <tableColumn id="1" xr3:uid="{00000000-0010-0000-0200-000001000000}" name="% steel (p)"/>
    <tableColumn id="2" xr3:uid="{00000000-0010-0000-0200-000002000000}" name="τc (N/mm²)"/>
  </tableColumns>
  <tableStyleInfo name="data of shea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2" activePane="bottomLeft" state="frozen"/>
      <selection pane="bottomLeft" activeCell="L18" sqref="L18"/>
    </sheetView>
  </sheetViews>
  <sheetFormatPr defaultColWidth="14.44140625" defaultRowHeight="15" customHeight="1" x14ac:dyDescent="0.3"/>
  <cols>
    <col min="1" max="1" width="43" customWidth="1"/>
    <col min="2" max="4" width="22" customWidth="1"/>
    <col min="5" max="5" width="43" customWidth="1"/>
    <col min="6" max="6" width="8.6640625" customWidth="1"/>
  </cols>
  <sheetData>
    <row r="1" spans="1:5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4.4" x14ac:dyDescent="0.3">
      <c r="A2" s="4" t="s">
        <v>5</v>
      </c>
      <c r="B2" s="5" t="s">
        <v>6</v>
      </c>
      <c r="C2" s="5">
        <v>350</v>
      </c>
      <c r="D2" s="5" t="s">
        <v>7</v>
      </c>
      <c r="E2" s="6"/>
    </row>
    <row r="3" spans="1:5" ht="14.4" x14ac:dyDescent="0.3">
      <c r="A3" s="7" t="s">
        <v>8</v>
      </c>
      <c r="B3" s="8" t="s">
        <v>9</v>
      </c>
      <c r="C3" s="8">
        <v>450</v>
      </c>
      <c r="D3" s="8" t="s">
        <v>7</v>
      </c>
      <c r="E3" s="9"/>
    </row>
    <row r="4" spans="1:5" ht="14.4" x14ac:dyDescent="0.3">
      <c r="A4" s="4" t="s">
        <v>10</v>
      </c>
      <c r="B4" s="5" t="s">
        <v>11</v>
      </c>
      <c r="C4" s="5">
        <v>50</v>
      </c>
      <c r="D4" s="5" t="s">
        <v>7</v>
      </c>
      <c r="E4" s="6" t="s">
        <v>12</v>
      </c>
    </row>
    <row r="5" spans="1:5" ht="14.4" x14ac:dyDescent="0.3">
      <c r="A5" s="7" t="s">
        <v>13</v>
      </c>
      <c r="B5" s="8" t="s">
        <v>14</v>
      </c>
      <c r="C5" s="8">
        <f>(C18*C16^2)/8</f>
        <v>175.5</v>
      </c>
      <c r="D5" s="8" t="s">
        <v>15</v>
      </c>
      <c r="E5" s="9" t="s">
        <v>16</v>
      </c>
    </row>
    <row r="6" spans="1:5" ht="14.4" x14ac:dyDescent="0.3">
      <c r="A6" s="4" t="s">
        <v>17</v>
      </c>
      <c r="B6" s="5" t="s">
        <v>18</v>
      </c>
      <c r="C6" s="5">
        <f>C18*C16/2</f>
        <v>117</v>
      </c>
      <c r="D6" s="5" t="s">
        <v>19</v>
      </c>
      <c r="E6" s="6"/>
    </row>
    <row r="7" spans="1:5" ht="14.4" x14ac:dyDescent="0.3">
      <c r="A7" s="7" t="s">
        <v>20</v>
      </c>
      <c r="B7" s="8" t="s">
        <v>21</v>
      </c>
      <c r="C7" s="8">
        <v>25</v>
      </c>
      <c r="D7" s="8" t="s">
        <v>22</v>
      </c>
      <c r="E7" s="9"/>
    </row>
    <row r="8" spans="1:5" ht="14.4" x14ac:dyDescent="0.3">
      <c r="A8" s="4" t="s">
        <v>23</v>
      </c>
      <c r="B8" s="5" t="s">
        <v>24</v>
      </c>
      <c r="C8" s="5">
        <v>415</v>
      </c>
      <c r="D8" s="5" t="s">
        <v>22</v>
      </c>
      <c r="E8" s="6"/>
    </row>
    <row r="9" spans="1:5" ht="14.4" x14ac:dyDescent="0.3">
      <c r="A9" s="7" t="s">
        <v>25</v>
      </c>
      <c r="B9" s="8" t="s">
        <v>26</v>
      </c>
      <c r="C9" s="8">
        <v>15</v>
      </c>
      <c r="D9" s="8" t="s">
        <v>7</v>
      </c>
      <c r="E9" s="9" t="s">
        <v>27</v>
      </c>
    </row>
    <row r="10" spans="1:5" ht="14.4" x14ac:dyDescent="0.3">
      <c r="A10" s="4" t="s">
        <v>28</v>
      </c>
      <c r="B10" s="5" t="s">
        <v>29</v>
      </c>
      <c r="C10" s="5">
        <v>8</v>
      </c>
      <c r="D10" s="5" t="s">
        <v>7</v>
      </c>
      <c r="E10" s="6" t="s">
        <v>30</v>
      </c>
    </row>
    <row r="11" spans="1:5" ht="14.4" x14ac:dyDescent="0.3">
      <c r="A11" s="7" t="s">
        <v>31</v>
      </c>
      <c r="B11" s="8" t="s">
        <v>32</v>
      </c>
      <c r="C11" s="8">
        <v>2</v>
      </c>
      <c r="D11" s="8"/>
      <c r="E11" s="9" t="s">
        <v>33</v>
      </c>
    </row>
    <row r="12" spans="1:5" ht="14.4" x14ac:dyDescent="0.3">
      <c r="A12" s="4" t="s">
        <v>34</v>
      </c>
      <c r="B12" s="5" t="s">
        <v>35</v>
      </c>
      <c r="C12" s="5">
        <v>0.9</v>
      </c>
      <c r="D12" s="5"/>
      <c r="E12" s="6" t="s">
        <v>36</v>
      </c>
    </row>
    <row r="13" spans="1:5" ht="14.4" x14ac:dyDescent="0.3">
      <c r="A13" s="7" t="s">
        <v>37</v>
      </c>
      <c r="B13" s="8" t="s">
        <v>38</v>
      </c>
      <c r="C13" s="8">
        <f>IF(Inputs!C11="Mild",250,IF(Inputs!C11="Fe415",415,IF(Inputs!C11="Fe500",500,250)))</f>
        <v>250</v>
      </c>
      <c r="D13" s="8" t="s">
        <v>39</v>
      </c>
      <c r="E13" s="9"/>
    </row>
    <row r="14" spans="1:5" ht="14.4" x14ac:dyDescent="0.3">
      <c r="A14" s="4" t="s">
        <v>40</v>
      </c>
      <c r="B14" s="5" t="s">
        <v>41</v>
      </c>
      <c r="C14" s="5">
        <v>10</v>
      </c>
      <c r="D14" s="5" t="s">
        <v>42</v>
      </c>
      <c r="E14" s="6" t="s">
        <v>43</v>
      </c>
    </row>
    <row r="15" spans="1:5" ht="14.4" x14ac:dyDescent="0.3">
      <c r="A15" s="7" t="s">
        <v>44</v>
      </c>
      <c r="B15" s="8" t="s">
        <v>45</v>
      </c>
      <c r="C15" s="8">
        <v>10</v>
      </c>
      <c r="D15" s="8" t="s">
        <v>42</v>
      </c>
      <c r="E15" s="9" t="s">
        <v>46</v>
      </c>
    </row>
    <row r="16" spans="1:5" ht="14.4" x14ac:dyDescent="0.3">
      <c r="A16" s="4" t="s">
        <v>47</v>
      </c>
      <c r="B16" s="5" t="s">
        <v>48</v>
      </c>
      <c r="C16" s="5">
        <v>6</v>
      </c>
      <c r="D16" s="5" t="s">
        <v>49</v>
      </c>
      <c r="E16" s="6" t="s">
        <v>50</v>
      </c>
    </row>
    <row r="17" spans="1:5" ht="14.4" x14ac:dyDescent="0.3">
      <c r="A17" s="7" t="s">
        <v>51</v>
      </c>
      <c r="B17" s="8" t="s">
        <v>52</v>
      </c>
      <c r="C17" s="8">
        <f>(C3*C2*25)*10^-6</f>
        <v>3.9375</v>
      </c>
      <c r="D17" s="8" t="s">
        <v>42</v>
      </c>
      <c r="E17" s="9" t="s">
        <v>53</v>
      </c>
    </row>
    <row r="18" spans="1:5" ht="14.4" x14ac:dyDescent="0.3">
      <c r="A18" s="10" t="s">
        <v>54</v>
      </c>
      <c r="B18" s="11" t="s">
        <v>55</v>
      </c>
      <c r="C18" s="11">
        <f>1.5*(C14+C15+C16)</f>
        <v>39</v>
      </c>
      <c r="D18" s="11" t="s">
        <v>56</v>
      </c>
      <c r="E18" s="12" t="s">
        <v>57</v>
      </c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43" customWidth="1"/>
    <col min="3" max="3" width="22" customWidth="1"/>
    <col min="4" max="4" width="43" customWidth="1"/>
    <col min="5" max="5" width="22" customWidth="1"/>
    <col min="6" max="6" width="43" customWidth="1"/>
    <col min="7" max="7" width="8.6640625" customWidth="1"/>
  </cols>
  <sheetData>
    <row r="1" spans="1:5" ht="14.4" x14ac:dyDescent="0.3">
      <c r="A1" s="13" t="s">
        <v>58</v>
      </c>
      <c r="B1" s="14"/>
      <c r="C1" s="15" t="s">
        <v>59</v>
      </c>
      <c r="D1" s="15" t="s">
        <v>3</v>
      </c>
      <c r="E1" s="16" t="s">
        <v>4</v>
      </c>
    </row>
    <row r="2" spans="1:5" ht="14.4" x14ac:dyDescent="0.3">
      <c r="A2" s="4" t="s">
        <v>60</v>
      </c>
      <c r="B2" s="17"/>
      <c r="C2" s="18">
        <f>Inputs!C24-Results!C4</f>
        <v>-117000</v>
      </c>
      <c r="D2" s="5" t="s">
        <v>7</v>
      </c>
      <c r="E2" s="6" t="s">
        <v>61</v>
      </c>
    </row>
    <row r="3" spans="1:5" ht="14.4" x14ac:dyDescent="0.3">
      <c r="A3" s="7" t="s">
        <v>62</v>
      </c>
      <c r="B3" s="17"/>
      <c r="C3" s="19">
        <f>Inputs!C5*1000000</f>
        <v>175500000</v>
      </c>
      <c r="D3" s="8" t="s">
        <v>63</v>
      </c>
      <c r="E3" s="9" t="s">
        <v>64</v>
      </c>
    </row>
    <row r="4" spans="1:5" ht="14.4" x14ac:dyDescent="0.3">
      <c r="A4" s="4" t="s">
        <v>65</v>
      </c>
      <c r="B4" s="20"/>
      <c r="C4" s="21">
        <f>Inputs!C6*1000</f>
        <v>117000</v>
      </c>
      <c r="D4" s="5" t="s">
        <v>66</v>
      </c>
      <c r="E4" s="6" t="s">
        <v>64</v>
      </c>
    </row>
    <row r="5" spans="1:5" ht="14.4" x14ac:dyDescent="0.3">
      <c r="A5" s="7" t="s">
        <v>67</v>
      </c>
      <c r="B5" s="22"/>
      <c r="C5" s="23">
        <f>Inputs!C12*(Inputs!C3-Inputs!C4)</f>
        <v>360</v>
      </c>
      <c r="D5" s="8" t="s">
        <v>7</v>
      </c>
      <c r="E5" s="9" t="s">
        <v>68</v>
      </c>
    </row>
    <row r="6" spans="1:5" ht="14.4" x14ac:dyDescent="0.3">
      <c r="A6" s="4" t="s">
        <v>69</v>
      </c>
      <c r="B6" s="20"/>
      <c r="C6" s="21" t="str">
        <f ca="1">IF(C8=415,0.138,IF(C8=500,0.149,0.138))</f>
        <v>#REF!</v>
      </c>
      <c r="D6" s="24"/>
      <c r="E6" s="6" t="s">
        <v>70</v>
      </c>
    </row>
    <row r="7" spans="1:5" ht="14.4" x14ac:dyDescent="0.3">
      <c r="A7" s="7" t="s">
        <v>71</v>
      </c>
      <c r="B7" s="22"/>
      <c r="C7" s="23" t="str">
        <f ca="1">C6*Inputs!C7*Inputs!C2*C2^2</f>
        <v>#REF!</v>
      </c>
      <c r="D7" s="8" t="s">
        <v>63</v>
      </c>
      <c r="E7" s="9" t="s">
        <v>72</v>
      </c>
    </row>
    <row r="8" spans="1:5" ht="14.4" x14ac:dyDescent="0.3">
      <c r="A8" s="4" t="s">
        <v>73</v>
      </c>
      <c r="B8" s="20"/>
      <c r="C8" s="21" t="str">
        <f ca="1">IF(C3&lt;=C7, "OK - under reinforced", "Over reinforced")</f>
        <v>#REF!</v>
      </c>
      <c r="D8" s="24"/>
      <c r="E8" s="6"/>
    </row>
    <row r="9" spans="1:5" ht="14.4" x14ac:dyDescent="0.3">
      <c r="A9" s="7" t="s">
        <v>74</v>
      </c>
      <c r="B9" s="22"/>
      <c r="C9" s="23">
        <f>C3/(0.87*Inputs!C8*C5)</f>
        <v>1350.2285002077274</v>
      </c>
      <c r="D9" s="8" t="s">
        <v>75</v>
      </c>
      <c r="E9" s="9" t="s">
        <v>76</v>
      </c>
    </row>
    <row r="10" spans="1:5" ht="14.4" x14ac:dyDescent="0.3">
      <c r="A10" s="4" t="s">
        <v>77</v>
      </c>
      <c r="B10" s="20"/>
      <c r="C10" s="21">
        <f>0.85*C2*Inputs!C2/Inputs!C8</f>
        <v>-83873.493975903621</v>
      </c>
      <c r="D10" s="5" t="s">
        <v>75</v>
      </c>
      <c r="E10" s="6"/>
    </row>
    <row r="11" spans="1:5" ht="14.4" x14ac:dyDescent="0.3">
      <c r="A11" s="7" t="s">
        <v>78</v>
      </c>
      <c r="B11" s="22"/>
      <c r="C11" s="23">
        <f>MAX(C9,C10)</f>
        <v>1350.2285002077274</v>
      </c>
      <c r="D11" s="8" t="s">
        <v>75</v>
      </c>
      <c r="E11" s="9"/>
    </row>
    <row r="12" spans="1:5" ht="14.4" x14ac:dyDescent="0.3">
      <c r="A12" s="4" t="s">
        <v>79</v>
      </c>
      <c r="B12" s="20"/>
      <c r="C12" s="21">
        <f>PI()*(Inputs!C9)^2/4</f>
        <v>176.71458676442586</v>
      </c>
      <c r="D12" s="5" t="s">
        <v>75</v>
      </c>
      <c r="E12" s="6" t="s">
        <v>80</v>
      </c>
    </row>
    <row r="13" spans="1:5" ht="14.4" x14ac:dyDescent="0.3">
      <c r="A13" s="7" t="s">
        <v>81</v>
      </c>
      <c r="B13" s="22"/>
      <c r="C13" s="23">
        <f>CEILING(C11/C12,1)</f>
        <v>8</v>
      </c>
      <c r="D13" s="8" t="s">
        <v>82</v>
      </c>
      <c r="E13" s="9"/>
    </row>
    <row r="14" spans="1:5" ht="14.4" x14ac:dyDescent="0.3">
      <c r="A14" s="4" t="s">
        <v>83</v>
      </c>
      <c r="B14" s="20"/>
      <c r="C14" s="21">
        <f>C13*PI()*(Inputs!C9)^2/4</f>
        <v>1413.7166941154069</v>
      </c>
      <c r="D14" s="5" t="s">
        <v>75</v>
      </c>
      <c r="E14" s="6"/>
    </row>
    <row r="15" spans="1:5" ht="14.4" x14ac:dyDescent="0.3">
      <c r="A15" s="7" t="s">
        <v>84</v>
      </c>
      <c r="B15" s="22"/>
      <c r="C15" s="23">
        <f>100*C14/(C2*Inputs!C2)</f>
        <v>-3.4522996193294435E-3</v>
      </c>
      <c r="D15" s="8" t="s">
        <v>85</v>
      </c>
      <c r="E15" s="9"/>
    </row>
    <row r="16" spans="1:5" ht="14.4" x14ac:dyDescent="0.3">
      <c r="A16" s="4" t="s">
        <v>86</v>
      </c>
      <c r="B16" s="20"/>
      <c r="C16" s="21">
        <f>C4/(C2*Inputs!C2)</f>
        <v>-2.8571428571428571E-3</v>
      </c>
      <c r="D16" s="5" t="s">
        <v>39</v>
      </c>
      <c r="E16" s="6" t="s">
        <v>87</v>
      </c>
    </row>
    <row r="17" spans="1:5" ht="14.4" x14ac:dyDescent="0.3">
      <c r="A17" s="7" t="s">
        <v>88</v>
      </c>
      <c r="B17" s="22"/>
      <c r="C17" s="23">
        <v>0.5</v>
      </c>
      <c r="D17" s="8" t="s">
        <v>39</v>
      </c>
      <c r="E17" s="9" t="s">
        <v>89</v>
      </c>
    </row>
    <row r="18" spans="1:5" ht="14.4" x14ac:dyDescent="0.3">
      <c r="A18" s="4" t="s">
        <v>90</v>
      </c>
      <c r="B18" s="20"/>
      <c r="C18" s="21" t="str">
        <f>IF(C16&lt;=C17,"Shear OK (no additional shear design needed)","Provide shear reinfoement")</f>
        <v>Shear OK (no additional shear design needed)</v>
      </c>
      <c r="D18" s="24"/>
      <c r="E18" s="6"/>
    </row>
    <row r="19" spans="1:5" ht="14.4" x14ac:dyDescent="0.3">
      <c r="A19" s="7" t="s">
        <v>91</v>
      </c>
      <c r="B19" s="22"/>
      <c r="C19" s="23">
        <f>PI()*Inputs!C10^2/4</f>
        <v>50.26548245743669</v>
      </c>
      <c r="D19" s="8" t="s">
        <v>75</v>
      </c>
      <c r="E19" s="9"/>
    </row>
    <row r="20" spans="1:5" ht="14.4" x14ac:dyDescent="0.3">
      <c r="A20" s="4" t="s">
        <v>92</v>
      </c>
      <c r="B20" s="20"/>
      <c r="C20" s="21">
        <f>C19*Inputs!C11</f>
        <v>100.53096491487338</v>
      </c>
      <c r="D20" s="5" t="s">
        <v>75</v>
      </c>
      <c r="E20" s="6"/>
    </row>
    <row r="21" spans="1:5" ht="15.75" customHeight="1" x14ac:dyDescent="0.3">
      <c r="A21" s="7" t="s">
        <v>93</v>
      </c>
      <c r="B21" s="22"/>
      <c r="C21" s="23" t="str">
        <f>IF(C16&gt;C17,(0.87*C20*Inputs!C13)/(Inputs!C2*(C16-C17)),"-")</f>
        <v>-</v>
      </c>
      <c r="D21" s="8" t="s">
        <v>7</v>
      </c>
      <c r="E21" s="9" t="s">
        <v>94</v>
      </c>
    </row>
    <row r="22" spans="1:5" ht="15.75" customHeight="1" x14ac:dyDescent="0.3">
      <c r="A22" s="10" t="s">
        <v>95</v>
      </c>
      <c r="B22" s="25"/>
      <c r="C22" s="26">
        <f>MIN(C21, 0.75*C2, 300)</f>
        <v>-87750</v>
      </c>
      <c r="D22" s="11" t="s">
        <v>7</v>
      </c>
      <c r="E22" s="12"/>
    </row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>
      <c r="A26" s="27"/>
      <c r="B26" s="27"/>
      <c r="C26" s="27"/>
      <c r="D26" s="27"/>
    </row>
    <row r="27" spans="1:5" ht="15.75" customHeight="1" x14ac:dyDescent="0.3">
      <c r="A27" s="27"/>
      <c r="B27" s="27"/>
      <c r="C27" s="27"/>
      <c r="D27" s="27"/>
    </row>
    <row r="28" spans="1:5" ht="15.75" customHeight="1" x14ac:dyDescent="0.3">
      <c r="A28" s="27"/>
      <c r="B28" s="27"/>
      <c r="C28" s="27"/>
      <c r="D28" s="27"/>
    </row>
    <row r="29" spans="1:5" ht="15.75" customHeight="1" x14ac:dyDescent="0.3">
      <c r="A29" s="27"/>
      <c r="B29" s="27"/>
      <c r="C29" s="27"/>
      <c r="D29" s="27"/>
    </row>
    <row r="30" spans="1:5" ht="15.75" customHeight="1" x14ac:dyDescent="0.3">
      <c r="A30" s="27"/>
      <c r="B30" s="27"/>
      <c r="C30" s="27"/>
      <c r="D30" s="27"/>
    </row>
    <row r="31" spans="1:5" ht="15.75" customHeight="1" x14ac:dyDescent="0.3">
      <c r="A31" s="27"/>
      <c r="B31" s="27"/>
      <c r="C31" s="27"/>
      <c r="D31" s="27"/>
    </row>
    <row r="32" spans="1:5" ht="15.75" customHeight="1" x14ac:dyDescent="0.3">
      <c r="A32" s="27"/>
      <c r="B32" s="27"/>
      <c r="C32" s="27"/>
      <c r="D32" s="27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C2:C22" xr:uid="{00000000-0002-0000-0100-000000000000}">
      <formula1>AND(ISNUMBER(C2),(NOT(OR(NOT(ISERROR(DATEVALUE(C2))), AND(ISNUMBER(C2), LEFT(CELL("format", C2))="D")))))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.109375" customWidth="1"/>
    <col min="2" max="2" width="17.109375" customWidth="1"/>
    <col min="3" max="6" width="14.44140625" customWidth="1"/>
  </cols>
  <sheetData>
    <row r="1" spans="1:2" ht="14.4" x14ac:dyDescent="0.3">
      <c r="A1" s="28" t="s">
        <v>96</v>
      </c>
      <c r="B1" s="29" t="s">
        <v>97</v>
      </c>
    </row>
    <row r="2" spans="1:2" ht="14.4" x14ac:dyDescent="0.3">
      <c r="A2" s="4">
        <v>0.15</v>
      </c>
      <c r="B2" s="6">
        <v>0.28000000000000003</v>
      </c>
    </row>
    <row r="3" spans="1:2" ht="14.4" x14ac:dyDescent="0.3">
      <c r="A3" s="7">
        <v>0.25</v>
      </c>
      <c r="B3" s="9">
        <v>0.36</v>
      </c>
    </row>
    <row r="4" spans="1:2" ht="14.4" x14ac:dyDescent="0.3">
      <c r="A4" s="4">
        <v>0.5</v>
      </c>
      <c r="B4" s="6">
        <v>0.46</v>
      </c>
    </row>
    <row r="5" spans="1:2" ht="14.4" x14ac:dyDescent="0.3">
      <c r="A5" s="7">
        <v>0.75</v>
      </c>
      <c r="B5" s="9">
        <v>0.54</v>
      </c>
    </row>
    <row r="6" spans="1:2" ht="14.4" x14ac:dyDescent="0.3">
      <c r="A6" s="4">
        <v>1</v>
      </c>
      <c r="B6" s="6">
        <v>0.62</v>
      </c>
    </row>
    <row r="7" spans="1:2" ht="14.4" x14ac:dyDescent="0.3">
      <c r="A7" s="7">
        <v>1.25</v>
      </c>
      <c r="B7" s="9">
        <v>0.68</v>
      </c>
    </row>
    <row r="8" spans="1:2" ht="14.4" x14ac:dyDescent="0.3">
      <c r="A8" s="4">
        <v>1.5</v>
      </c>
      <c r="B8" s="6">
        <v>0.74</v>
      </c>
    </row>
    <row r="9" spans="1:2" ht="14.4" x14ac:dyDescent="0.3">
      <c r="A9" s="7">
        <v>2</v>
      </c>
      <c r="B9" s="9">
        <v>0.82</v>
      </c>
    </row>
    <row r="10" spans="1:2" ht="14.4" x14ac:dyDescent="0.3">
      <c r="A10" s="10">
        <v>3</v>
      </c>
      <c r="B10" s="12">
        <v>0.93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Results</vt:lpstr>
      <vt:lpstr>data of shear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 Raj</dc:creator>
  <cp:keywords/>
  <dc:description/>
  <cp:lastModifiedBy>Swet Raj</cp:lastModifiedBy>
  <cp:revision/>
  <cp:lastPrinted>2026-01-11T15:20:54Z</cp:lastPrinted>
  <dcterms:created xsi:type="dcterms:W3CDTF">2025-11-19T16:38:17Z</dcterms:created>
  <dcterms:modified xsi:type="dcterms:W3CDTF">2026-01-11T15:53:36Z</dcterms:modified>
  <cp:category/>
  <cp:contentStatus/>
</cp:coreProperties>
</file>